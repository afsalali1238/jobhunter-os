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ipelin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<sst xmlns="http://schemas.openxmlformats.org/spreadsheetml/2006/main" count="73" uniqueCount="55">
  <si>
    <t xml:space="preserve">JobHunter OS — Pipeline Dashboard</t>
  </si>
  <si>
    <t xml:space="preserve">Live counts pulled from the Pipeline sheet — add rows there and this updates.</t>
  </si>
  <si>
    <t xml:space="preserve">Total Pipeline</t>
  </si>
  <si>
    <t xml:space="preserve">Applied</t>
  </si>
  <si>
    <t xml:space="preserve">Interviewing</t>
  </si>
  <si>
    <t xml:space="preserve">Offers</t>
  </si>
  <si>
    <t xml:space="preserve">Fit Score Bands</t>
  </si>
  <si>
    <t xml:space="preserve">Pipeline by Status</t>
  </si>
  <si>
    <t xml:space="preserve">Band</t>
  </si>
  <si>
    <t xml:space="preserve">Count</t>
  </si>
  <si>
    <t xml:space="preserve">Status</t>
  </si>
  <si>
    <t xml:space="preserve">HOT (&gt;=80)</t>
  </si>
  <si>
    <t xml:space="preserve">Scouted</t>
  </si>
  <si>
    <t xml:space="preserve">Strong (70-79)</t>
  </si>
  <si>
    <t xml:space="preserve">CV Ready</t>
  </si>
  <si>
    <t xml:space="preserve">Consider (60-69)</t>
  </si>
  <si>
    <t xml:space="preserve">Low (&lt;60)</t>
  </si>
  <si>
    <t xml:space="preserve">Offer</t>
  </si>
  <si>
    <t xml:space="preserve">Rejected</t>
  </si>
  <si>
    <t xml:space="preserve">Company</t>
  </si>
  <si>
    <t xml:space="preserve">Role</t>
  </si>
  <si>
    <t xml:space="preserve">Fit Score</t>
  </si>
  <si>
    <t xml:space="preserve">Applied Date</t>
  </si>
  <si>
    <t xml:space="preserve">Job URL</t>
  </si>
  <si>
    <t xml:space="preserve">Northwind Retail</t>
  </si>
  <si>
    <t xml:space="preserve">Operations Manager</t>
  </si>
  <si>
    <t xml:space="preserve">https://example.com/1</t>
  </si>
  <si>
    <t xml:space="preserve">Vertex Logistics</t>
  </si>
  <si>
    <t xml:space="preserve">Supply Chain Lead</t>
  </si>
  <si>
    <t xml:space="preserve">https://example.com/2</t>
  </si>
  <si>
    <t xml:space="preserve">Bright Harbor</t>
  </si>
  <si>
    <t xml:space="preserve">Category Manager</t>
  </si>
  <si>
    <t xml:space="preserve">https://example.com/3</t>
  </si>
  <si>
    <t xml:space="preserve">Acme Freight</t>
  </si>
  <si>
    <t xml:space="preserve">https://example.com/4</t>
  </si>
  <si>
    <t xml:space="preserve">Globex Corp</t>
  </si>
  <si>
    <t xml:space="preserve">Business Ops Lead</t>
  </si>
  <si>
    <t xml:space="preserve">2026-07-01</t>
  </si>
  <si>
    <t xml:space="preserve">https://example.com/5</t>
  </si>
  <si>
    <t xml:space="preserve">Initech</t>
  </si>
  <si>
    <t xml:space="preserve">Procurement Manager</t>
  </si>
  <si>
    <t xml:space="preserve">2026-06-28</t>
  </si>
  <si>
    <t xml:space="preserve">https://example.com/6</t>
  </si>
  <si>
    <t xml:space="preserve">Umbrella Retail</t>
  </si>
  <si>
    <t xml:space="preserve">Ops Director</t>
  </si>
  <si>
    <t xml:space="preserve">2026-06-18</t>
  </si>
  <si>
    <t xml:space="preserve">https://example.com/7</t>
  </si>
  <si>
    <t xml:space="preserve">Stellar Group</t>
  </si>
  <si>
    <t xml:space="preserve">2026-05-30</t>
  </si>
  <si>
    <t xml:space="preserve">https://example.com/8</t>
  </si>
  <si>
    <t xml:space="preserve">Wayne Logistics</t>
  </si>
  <si>
    <t xml:space="preserve">2026-05-10</t>
  </si>
  <si>
    <t xml:space="preserve">https://example.com/9</t>
  </si>
  <si>
    <t xml:space="preserve">Sample Co</t>
  </si>
  <si>
    <t xml:space="preserve">Ops Coordinator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</si>
</sst>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4120F"/>
      <name val="Arial"/>
      <family val="0"/>
      <charset val="1"/>
    </font>
    <font>
      <i val="true"/>
      <sz val="10"/>
      <color rgb="FF6F7287"/>
      <name val="Arial"/>
      <family val="0"/>
      <charset val="1"/>
    </font>
    <font>
      <b val="true"/>
      <sz val="10"/>
      <color rgb="FF6F7287"/>
      <name val="Arial"/>
      <family val="0"/>
      <charset val="1"/>
    </font>
    <font>
      <b val="true"/>
      <sz val="26"/>
      <color rgb="FF14120F"/>
      <name val="Arial"/>
      <family val="0"/>
      <charset val="1"/>
    </font>
    <font>
      <b val="true"/>
      <sz val="13"/>
      <color rgb="FF14120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F5F0"/>
        <bgColor rgb="FFF9F9F9"/>
      </patternFill>
    </fill>
    <fill>
      <patternFill patternType="solid">
        <fgColor rgb="FF14120F"/>
        <bgColor rgb="FF0000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E0DED5"/>
      </left>
      <right style="thin">
        <color rgb="FFE0DED5"/>
      </right>
      <top style="thin">
        <color rgb="FFA7A9BE"/>
      </top>
      <bottom/>
      <diagonal/>
    </border>
    <border diagonalUp="false" diagonalDown="false">
      <left style="thin">
        <color rgb="FFE0DED5"/>
      </left>
      <right style="thin">
        <color rgb="FFE0DED5"/>
      </right>
      <top style="thin">
        <color rgb="FFFF8906"/>
      </top>
      <bottom/>
      <diagonal/>
    </border>
    <border diagonalUp="false" diagonalDown="false">
      <left style="thin">
        <color rgb="FFE0DED5"/>
      </left>
      <right style="thin">
        <color rgb="FFE0DED5"/>
      </right>
      <top style="thin">
        <color rgb="FFE53170"/>
      </top>
      <bottom/>
      <diagonal/>
    </border>
    <border diagonalUp="false" diagonalDown="false">
      <left style="thin">
        <color rgb="FFE0DED5"/>
      </left>
      <right style="thin">
        <color rgb="FFE0DED5"/>
      </right>
      <top style="thin">
        <color rgb="FF2CB67D"/>
      </top>
      <bottom/>
      <diagonal/>
    </border>
    <border diagonalUp="false" diagonalDown="false">
      <left style="thin">
        <color rgb="FFE0DED5"/>
      </left>
      <right style="thin">
        <color rgb="FFE0DED5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6" fillId="2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6" fillId="2" borderId="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6" fillId="2" borderId="4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0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5">
    <dxf>
      <fill>
        <patternFill patternType="solid">
          <fgColor rgb="FF14120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7F4E7"/>
          <bgColor rgb="FF000000"/>
        </patternFill>
      </fill>
    </dxf>
    <dxf>
      <fill>
        <patternFill patternType="solid">
          <fgColor rgb="FFEDEDF0"/>
          <bgColor rgb="FF000000"/>
        </patternFill>
      </fill>
    </dxf>
    <dxf>
      <fill>
        <patternFill patternType="solid">
          <fgColor rgb="FFFBDCE6"/>
          <bgColor rgb="FF000000"/>
        </patternFill>
      </fill>
    </dxf>
    <dxf>
      <fill>
        <patternFill patternType="solid">
          <fgColor rgb="FFFFEAD2"/>
          <bgColor rgb="FF000000"/>
        </patternFill>
      </fill>
    </dxf>
    <dxf>
      <fill>
        <patternFill patternType="solid">
          <fgColor rgb="FF2CB67D"/>
          <bgColor rgb="FF000000"/>
        </patternFill>
      </fill>
    </dxf>
    <dxf>
      <fill>
        <patternFill patternType="solid">
          <fgColor rgb="FF6F7287"/>
          <bgColor rgb="FF000000"/>
        </patternFill>
      </fill>
    </dxf>
    <dxf>
      <fill>
        <patternFill patternType="solid">
          <fgColor rgb="FFB25E00"/>
          <bgColor rgb="FF000000"/>
        </patternFill>
      </fill>
    </dxf>
    <dxf>
      <fill>
        <patternFill patternType="solid">
          <fgColor rgb="FFE53170"/>
          <bgColor rgb="FF000000"/>
        </patternFill>
      </fill>
    </dxf>
    <dxf>
      <fill>
        <patternFill patternType="solid">
          <fgColor rgb="FFE6E6E9"/>
          <bgColor rgb="FF000000"/>
        </patternFill>
      </fill>
    </dxf>
    <dxf>
      <fill>
        <patternFill patternType="solid">
          <fgColor rgb="FFFBE2DC"/>
          <bgColor rgb="FF000000"/>
        </patternFill>
      </fill>
    </dxf>
    <dxf>
      <fill>
        <patternFill patternType="solid">
          <fgColor rgb="FF1E8A5F"/>
          <bgColor rgb="FF000000"/>
        </patternFill>
      </fill>
    </dxf>
    <dxf>
      <fill>
        <patternFill patternType="solid">
          <fgColor rgb="FF4B4D60"/>
          <bgColor rgb="FF000000"/>
        </patternFill>
      </fill>
    </dxf>
    <dxf>
      <fill>
        <patternFill patternType="solid">
          <fgColor rgb="FFB4402E"/>
          <bgColor rgb="FF000000"/>
        </patternFill>
      </fill>
    </dxf>
    <dxf>
      <fill>
        <patternFill patternType="solid">
          <fgColor rgb="FFC21C5C"/>
          <bgColor rgb="FF000000"/>
        </patternFill>
      </fill>
    </dxf>
    <dxf>
      <font>
        <b val="1"/>
        <color rgb="FF2CB67D"/>
      </font>
      <fill>
        <patternFill>
          <bgColor rgb="FFD7F4E7"/>
        </patternFill>
      </fill>
    </dxf>
    <dxf>
      <font>
        <b val="1"/>
        <color rgb="FFB25E00"/>
      </font>
      <fill>
        <patternFill>
          <bgColor rgb="FFFFEAD2"/>
        </patternFill>
      </fill>
    </dxf>
    <dxf>
      <font>
        <b val="1"/>
        <color rgb="FFE53170"/>
      </font>
      <fill>
        <patternFill>
          <bgColor rgb="FFFBDCE6"/>
        </patternFill>
      </fill>
    </dxf>
    <dxf>
      <font>
        <b val="1"/>
        <color rgb="FF6F7287"/>
      </font>
      <fill>
        <patternFill>
          <bgColor rgb="FFEDEDF0"/>
        </patternFill>
      </fill>
    </dxf>
    <dxf>
      <font>
        <b val="1"/>
        <color rgb="FFB4402E"/>
      </font>
      <fill>
        <patternFill>
          <bgColor rgb="FFFBE2DC"/>
        </patternFill>
      </fill>
    </dxf>
    <dxf>
      <font>
        <b val="1"/>
        <color rgb="FFC21C5C"/>
      </font>
      <fill>
        <patternFill>
          <bgColor rgb="FFFBDCE6"/>
        </patternFill>
      </fill>
    </dxf>
    <dxf>
      <font>
        <b val="1"/>
        <color rgb="FF1E8A5F"/>
      </font>
      <fill>
        <patternFill>
          <bgColor rgb="FFD7F4E7"/>
        </patternFill>
      </fill>
    </dxf>
    <dxf>
      <font>
        <b val="1"/>
        <color rgb="FF4B4D60"/>
      </font>
      <fill>
        <patternFill>
          <bgColor rgb="FFE6E6E9"/>
        </patternFill>
      </fill>
    </dxf>
  </dxfs>
  <colors>
    <indexedColors>
      <rgbColor rgb="FF000000"/>
      <rgbColor rgb="FFFFFFFF"/>
      <rgbColor rgb="FFE5317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25E00"/>
      <rgbColor rgb="FF800080"/>
      <rgbColor rgb="FF008080"/>
      <rgbColor rgb="FFE0DED5"/>
      <rgbColor rgb="FF878787"/>
      <rgbColor rgb="FF8064A2"/>
      <rgbColor rgb="FFC21C5C"/>
      <rgbColor rgb="FFF7F5F0"/>
      <rgbColor rgb="FFD7F4E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F0"/>
      <rgbColor rgb="FFE6E6E9"/>
      <rgbColor rgb="FFFFEAD2"/>
      <rgbColor rgb="FFF9F9F9"/>
      <rgbColor rgb="FFFBDCE6"/>
      <rgbColor rgb="FFCC99FF"/>
      <rgbColor rgb="FFFBE2DC"/>
      <rgbColor rgb="FF4F81BD"/>
      <rgbColor rgb="FF2CB67D"/>
      <rgbColor rgb="FF9BBB59"/>
      <rgbColor rgb="FFFFCC00"/>
      <rgbColor rgb="FFFF8906"/>
      <rgbColor rgb="FFFF6600"/>
      <rgbColor rgb="FF6F7287"/>
      <rgbColor rgb="FFA7A9BE"/>
      <rgbColor rgb="FF003366"/>
      <rgbColor rgb="FF1E8A5F"/>
      <rgbColor rgb="FF14120F"/>
      <rgbColor rgb="FF333300"/>
      <rgbColor rgb="FFB4402E"/>
      <rgbColor rgb="FFC0504D"/>
      <rgbColor rgb="FF333399"/>
      <rgbColor rgb="FF4B4D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Pipeline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Dashboard!F13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Dashboard!$E$14:$E$19</c:f>
              <c:strCache>
                <c:ptCount val="6"/>
                <c:pt idx="0">
                  <c:v>Scouted</c:v>
                </c:pt>
                <c:pt idx="1">
                  <c:v>CV Ready</c:v>
                </c:pt>
                <c:pt idx="2">
                  <c:v>Applied</c:v>
                </c:pt>
                <c:pt idx="3">
                  <c:v>Interviewing</c:v>
                </c:pt>
                <c:pt idx="4">
                  <c:v>Offer</c:v>
                </c:pt>
                <c:pt idx="5">
                  <c:v>Rejected</c:v>
                </c:pt>
              </c:strCache>
            </c:strRef>
          </c:cat>
          <c:val>
            <c:numRef>
              <c:f>Dashboard!$F$14:$F$19</c:f>
              <c:numCache>
                <c:formatCode>General</c:formatCode>
                <c:ptCount val="6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gapWidth val="150"/>
        <c:overlap val="0"/>
        <c:axId val="28192804"/>
        <c:axId val="3803775"/>
      </c:barChart>
      <c:catAx>
        <c:axId val="281928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03775"/>
        <c:crosses val="autoZero"/>
        <c:auto val="1"/>
        <c:lblAlgn val="ctr"/>
        <c:lblOffset val="100"/>
        <c:noMultiLvlLbl val="0"/>
      </c:catAx>
      <c:valAx>
        <c:axId val="38037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Jobs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19280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Fit Score Bands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Dashboard!C13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Dashboard!$B$14:$B$17</c:f>
              <c:strCache>
                <c:ptCount val="4"/>
                <c:pt idx="0">
                  <c:v>HOT (&gt;=80)</c:v>
                </c:pt>
                <c:pt idx="1">
                  <c:v>Strong (70-79)</c:v>
                </c:pt>
                <c:pt idx="2">
                  <c:v>Consider (60-69)</c:v>
                </c:pt>
                <c:pt idx="3">
                  <c:v>Low (&lt;60)</c:v>
                </c:pt>
              </c:strCache>
            </c:strRef>
          </c:cat>
          <c:val>
            <c:numRef>
              <c:f>Dashboard!$C$14:$C$17</c:f>
              <c:numCache>
                <c:formatCode>General</c:formatCode>
                <c:ptCount val="4"/>
                <c:pt idx="0">
                  <c:v>5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20</xdr:row>
      <xdr:rowOff>0</xdr:rowOff>
    </xdr:from>
    <xdr:to>
      <xdr:col>10</xdr:col>
      <xdr:colOff>229680</xdr:colOff>
      <xdr:row>34</xdr:row>
      <xdr:rowOff>32400</xdr:rowOff>
    </xdr:to>
    <xdr:graphicFrame>
      <xdr:nvGraphicFramePr>
        <xdr:cNvPr id="1" name="Chart 1"/>
        <xdr:cNvGraphicFramePr/>
      </xdr:nvGraphicFramePr>
      <xdr:xfrm>
        <a:off x="3876840" y="39445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18</xdr:row>
      <xdr:rowOff>0</xdr:rowOff>
    </xdr:from>
    <xdr:to>
      <xdr:col>4</xdr:col>
      <xdr:colOff>654120</xdr:colOff>
      <xdr:row>32</xdr:row>
      <xdr:rowOff>32760</xdr:rowOff>
    </xdr:to>
    <xdr:graphicFrame>
      <xdr:nvGraphicFramePr>
        <xdr:cNvPr id="2" name="Chart 2"/>
        <xdr:cNvGraphicFramePr/>
      </xdr:nvGraphicFramePr>
      <xdr:xfrm>
        <a:off x="211320" y="356364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ipelineTable" displayName="PipelineTable" ref="A1:G11" headerRowCount="1" totalsRowCount="0" totalsRowShown="0">
  <autoFilter ref="A1:G11"/>
  <tableColumns count="7">
    <tableColumn id="1" name="Company"/>
    <tableColumn id="2" name="Role"/>
    <tableColumn id="3" name="Fit Score"/>
    <tableColumn id="4" name="Band"/>
    <tableColumn id="5" name="Status"/>
    <tableColumn id="6" name="Applied Date"/>
    <tableColumn id="7" name="Job UR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6" min="3" style="0" width="16"/>
    <col collapsed="false" customWidth="true" hidden="false" outlineLevel="0" max="7" min="7" style="0" width="4"/>
    <col collapsed="false" customWidth="true" hidden="false" outlineLevel="0" max="8" min="8" style="0" width="20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true" outlineLevel="0" collapsed="false">
      <c r="B5" s="3" t="s">
        <v>2</v>
      </c>
      <c r="C5" s="4" t="s">
        <v>3</v>
      </c>
      <c r="D5" s="5" t="s">
        <v>4</v>
      </c>
      <c r="E5" s="6" t="s">
        <v>5</v>
      </c>
    </row>
    <row r="6" customFormat="false" ht="15" hidden="false" customHeight="false" outlineLevel="0" collapsed="false">
      <c r="B6" s="3"/>
      <c r="C6" s="3"/>
      <c r="D6" s="3"/>
      <c r="E6" s="3"/>
    </row>
    <row r="7" customFormat="false" ht="15" hidden="false" customHeight="false" outlineLevel="0" collapsed="false">
      <c r="B7" s="7" t="n">
        <f aca="false">COUNTA(Pipeline!A2:A500)</f>
        <v>10</v>
      </c>
      <c r="C7" s="7" t="n">
        <f aca="false">COUNTIF(Pipeline!E2:E500,"Applied")</f>
        <v>2</v>
      </c>
      <c r="D7" s="7" t="n">
        <f aca="false">COUNTIF(Pipeline!E2:E500,"Interviewing")</f>
        <v>1</v>
      </c>
      <c r="E7" s="7" t="n">
        <f aca="false">COUNTIF(Pipeline!E2:E500,"Offer")</f>
        <v>1</v>
      </c>
    </row>
    <row r="8" customFormat="false" ht="15" hidden="false" customHeight="false" outlineLevel="0" collapsed="false">
      <c r="B8" s="7"/>
      <c r="C8" s="7"/>
      <c r="D8" s="7"/>
      <c r="E8" s="7"/>
    </row>
    <row r="12" customFormat="false" ht="16.15" hidden="false" customHeight="false" outlineLevel="0" collapsed="false">
      <c r="B12" s="8" t="s">
        <v>6</v>
      </c>
      <c r="E12" s="8" t="s">
        <v>7</v>
      </c>
    </row>
    <row r="13" customFormat="false" ht="15" hidden="false" customHeight="false" outlineLevel="0" collapsed="false">
      <c r="B13" s="9" t="s">
        <v>8</v>
      </c>
      <c r="C13" s="9" t="s">
        <v>9</v>
      </c>
      <c r="E13" s="9" t="s">
        <v>10</v>
      </c>
      <c r="F13" s="9" t="s">
        <v>9</v>
      </c>
    </row>
    <row r="14" customFormat="false" ht="15" hidden="false" customHeight="false" outlineLevel="0" collapsed="false">
      <c r="B14" s="10" t="s">
        <v>11</v>
      </c>
      <c r="C14" s="10" t="n">
        <f aca="false">COUNTIFS(Pipeline!C2:C500,"&gt;=80")</f>
        <v>5</v>
      </c>
      <c r="E14" s="10" t="s">
        <v>12</v>
      </c>
      <c r="F14" s="10" t="n">
        <f aca="false">COUNTIF(Pipeline!E2:E500,"Scouted")</f>
        <v>4</v>
      </c>
    </row>
    <row r="15" customFormat="false" ht="15" hidden="false" customHeight="false" outlineLevel="0" collapsed="false">
      <c r="B15" s="10" t="s">
        <v>13</v>
      </c>
      <c r="C15" s="10" t="n">
        <f aca="false">COUNTIFS(Pipeline!C2:C500,"&gt;=70",Pipeline!C2:C500,"&lt;80")</f>
        <v>1</v>
      </c>
      <c r="E15" s="10" t="s">
        <v>14</v>
      </c>
      <c r="F15" s="10" t="n">
        <f aca="false">COUNTIF(Pipeline!E2:E500,"CV Ready")</f>
        <v>1</v>
      </c>
    </row>
    <row r="16" customFormat="false" ht="15" hidden="false" customHeight="false" outlineLevel="0" collapsed="false">
      <c r="B16" s="10" t="s">
        <v>15</v>
      </c>
      <c r="C16" s="10" t="n">
        <f aca="false">COUNTIFS(Pipeline!C2:C500,"&gt;=60",Pipeline!C2:C500,"&lt;70")</f>
        <v>2</v>
      </c>
      <c r="E16" s="10" t="s">
        <v>3</v>
      </c>
      <c r="F16" s="10" t="n">
        <f aca="false">COUNTIF(Pipeline!E2:E500,"Applied")</f>
        <v>2</v>
      </c>
    </row>
    <row r="17" customFormat="false" ht="15" hidden="false" customHeight="false" outlineLevel="0" collapsed="false">
      <c r="B17" s="10" t="s">
        <v>16</v>
      </c>
      <c r="C17" s="10" t="n">
        <f aca="false">COUNTIFS(Pipeline!C2:C500,"&lt;60",Pipeline!C2:C500,"&lt;&gt;")</f>
        <v>1</v>
      </c>
      <c r="E17" s="10" t="s">
        <v>4</v>
      </c>
      <c r="F17" s="10" t="n">
        <f aca="false">COUNTIF(Pipeline!E2:E500,"Interviewing")</f>
        <v>1</v>
      </c>
    </row>
    <row r="18" customFormat="false" ht="15" hidden="false" customHeight="false" outlineLevel="0" collapsed="false">
      <c r="E18" s="10" t="s">
        <v>17</v>
      </c>
      <c r="F18" s="10" t="n">
        <f aca="false">COUNTIF(Pipeline!E2:E500,"Offer")</f>
        <v>1</v>
      </c>
    </row>
    <row r="19" customFormat="false" ht="15" hidden="false" customHeight="false" outlineLevel="0" collapsed="false">
      <c r="E19" s="10" t="s">
        <v>18</v>
      </c>
      <c r="F19" s="10" t="n">
        <f aca="false">COUNTIF(Pipeline!E2:E500,"Rejected")</f>
        <v>1</v>
      </c>
    </row>
  </sheetData>
  <mergeCells count="8">
    <mergeCell ref="B5:B6"/>
    <mergeCell ref="C5:C6"/>
    <mergeCell ref="D5:D6"/>
    <mergeCell ref="E5:E6"/>
    <mergeCell ref="B7:B8"/>
    <mergeCell ref="C7:C8"/>
    <mergeCell ref="D7:D8"/>
    <mergeCell ref="E7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4" min="3" style="0" width="11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26"/>
  </cols>
  <sheetData>
    <row r="1" customFormat="false" ht="15" hidden="false" customHeight="false" outlineLevel="0" collapsed="false">
      <c r="A1" s="11" t="s">
        <v>19</v>
      </c>
      <c r="B1" s="11" t="s">
        <v>20</v>
      </c>
      <c r="C1" s="11" t="s">
        <v>21</v>
      </c>
      <c r="D1" s="11" t="s">
        <v>8</v>
      </c>
      <c r="E1" s="11" t="s">
        <v>10</v>
      </c>
      <c r="F1" s="11" t="s">
        <v>22</v>
      </c>
      <c r="G1" s="11" t="s">
        <v>23</v>
      </c>
    </row>
    <row r="2" customFormat="false" ht="15" hidden="false" customHeight="false" outlineLevel="0" collapsed="false">
      <c r="A2" s="10" t="s">
        <v>24</v>
      </c>
      <c r="B2" s="10" t="s">
        <v>25</v>
      </c>
      <c r="C2" s="10" t="n">
        <v>88</v>
      </c>
      <c r="D2" s="10" t="str">
        <f aca="false">IF(C2="","",IF(C2&gt;=80,"HOT",IF(C2&gt;=70,"Strong",IF(C2&gt;=60,"Consider","Low"))))</f>
        <v>HOT</v>
      </c>
      <c r="E2" s="10" t="s">
        <v>12</v>
      </c>
      <c r="F2" s="10"/>
      <c r="G2" s="10" t="s">
        <v>26</v>
      </c>
    </row>
    <row r="3" customFormat="false" ht="15" hidden="false" customHeight="false" outlineLevel="0" collapsed="false">
      <c r="A3" s="10" t="s">
        <v>27</v>
      </c>
      <c r="B3" s="10" t="s">
        <v>28</v>
      </c>
      <c r="C3" s="10" t="n">
        <v>74</v>
      </c>
      <c r="D3" s="10" t="str">
        <f aca="false">IF(C3="","",IF(C3&gt;=80,"HOT",IF(C3&gt;=70,"Strong",IF(C3&gt;=60,"Consider","Low"))))</f>
        <v>Strong</v>
      </c>
      <c r="E3" s="10" t="s">
        <v>12</v>
      </c>
      <c r="F3" s="10"/>
      <c r="G3" s="10" t="s">
        <v>29</v>
      </c>
    </row>
    <row r="4" customFormat="false" ht="15" hidden="false" customHeight="false" outlineLevel="0" collapsed="false">
      <c r="A4" s="10" t="s">
        <v>30</v>
      </c>
      <c r="B4" s="10" t="s">
        <v>31</v>
      </c>
      <c r="C4" s="10" t="n">
        <v>61</v>
      </c>
      <c r="D4" s="10" t="str">
        <f aca="false">IF(C4="","",IF(C4&gt;=80,"HOT",IF(C4&gt;=70,"Strong",IF(C4&gt;=60,"Consider","Low"))))</f>
        <v>Consider</v>
      </c>
      <c r="E4" s="10" t="s">
        <v>12</v>
      </c>
      <c r="F4" s="10"/>
      <c r="G4" s="10" t="s">
        <v>32</v>
      </c>
    </row>
    <row r="5" customFormat="false" ht="15" hidden="false" customHeight="false" outlineLevel="0" collapsed="false">
      <c r="A5" s="10" t="s">
        <v>33</v>
      </c>
      <c r="B5" s="10" t="s">
        <v>25</v>
      </c>
      <c r="C5" s="10" t="n">
        <v>91</v>
      </c>
      <c r="D5" s="10" t="str">
        <f aca="false">IF(C5="","",IF(C5&gt;=80,"HOT",IF(C5&gt;=70,"Strong",IF(C5&gt;=60,"Consider","Low"))))</f>
        <v>HOT</v>
      </c>
      <c r="E5" s="10" t="s">
        <v>14</v>
      </c>
      <c r="F5" s="10"/>
      <c r="G5" s="10" t="s">
        <v>34</v>
      </c>
    </row>
    <row r="6" customFormat="false" ht="15" hidden="false" customHeight="false" outlineLevel="0" collapsed="false">
      <c r="A6" s="10" t="s">
        <v>35</v>
      </c>
      <c r="B6" s="10" t="s">
        <v>36</v>
      </c>
      <c r="C6" s="10" t="n">
        <v>83</v>
      </c>
      <c r="D6" s="10" t="str">
        <f aca="false">IF(C6="","",IF(C6&gt;=80,"HOT",IF(C6&gt;=70,"Strong",IF(C6&gt;=60,"Consider","Low"))))</f>
        <v>HOT</v>
      </c>
      <c r="E6" s="10" t="s">
        <v>3</v>
      </c>
      <c r="F6" s="10" t="s">
        <v>37</v>
      </c>
      <c r="G6" s="10" t="s">
        <v>38</v>
      </c>
    </row>
    <row r="7" customFormat="false" ht="15" hidden="false" customHeight="false" outlineLevel="0" collapsed="false">
      <c r="A7" s="10" t="s">
        <v>39</v>
      </c>
      <c r="B7" s="10" t="s">
        <v>40</v>
      </c>
      <c r="C7" s="10" t="n">
        <v>69</v>
      </c>
      <c r="D7" s="10" t="str">
        <f aca="false">IF(C7="","",IF(C7&gt;=80,"HOT",IF(C7&gt;=70,"Strong",IF(C7&gt;=60,"Consider","Low"))))</f>
        <v>Consider</v>
      </c>
      <c r="E7" s="10" t="s">
        <v>3</v>
      </c>
      <c r="F7" s="10" t="s">
        <v>41</v>
      </c>
      <c r="G7" s="10" t="s">
        <v>42</v>
      </c>
    </row>
    <row r="8" customFormat="false" ht="15" hidden="false" customHeight="false" outlineLevel="0" collapsed="false">
      <c r="A8" s="10" t="s">
        <v>43</v>
      </c>
      <c r="B8" s="10" t="s">
        <v>44</v>
      </c>
      <c r="C8" s="10" t="n">
        <v>85</v>
      </c>
      <c r="D8" s="10" t="str">
        <f aca="false">IF(C8="","",IF(C8&gt;=80,"HOT",IF(C8&gt;=70,"Strong",IF(C8&gt;=60,"Consider","Low"))))</f>
        <v>HOT</v>
      </c>
      <c r="E8" s="10" t="s">
        <v>4</v>
      </c>
      <c r="F8" s="10" t="s">
        <v>45</v>
      </c>
      <c r="G8" s="10" t="s">
        <v>46</v>
      </c>
    </row>
    <row r="9" customFormat="false" ht="15" hidden="false" customHeight="false" outlineLevel="0" collapsed="false">
      <c r="A9" s="10" t="s">
        <v>47</v>
      </c>
      <c r="B9" s="10" t="s">
        <v>31</v>
      </c>
      <c r="C9" s="10" t="n">
        <v>90</v>
      </c>
      <c r="D9" s="10" t="str">
        <f aca="false">IF(C9="","",IF(C9&gt;=80,"HOT",IF(C9&gt;=70,"Strong",IF(C9&gt;=60,"Consider","Low"))))</f>
        <v>HOT</v>
      </c>
      <c r="E9" s="10" t="s">
        <v>17</v>
      </c>
      <c r="F9" s="10" t="s">
        <v>48</v>
      </c>
      <c r="G9" s="10" t="s">
        <v>49</v>
      </c>
    </row>
    <row r="10" customFormat="false" ht="15" hidden="false" customHeight="false" outlineLevel="0" collapsed="false">
      <c r="A10" s="10" t="s">
        <v>50</v>
      </c>
      <c r="B10" s="10" t="s">
        <v>25</v>
      </c>
      <c r="C10" s="10" t="n">
        <v>55</v>
      </c>
      <c r="D10" s="10" t="str">
        <f aca="false">IF(C10="","",IF(C10&gt;=80,"HOT",IF(C10&gt;=70,"Strong",IF(C10&gt;=60,"Consider","Low"))))</f>
        <v>Low</v>
      </c>
      <c r="E10" s="10" t="s">
        <v>18</v>
      </c>
      <c r="F10" s="10" t="s">
        <v>51</v>
      </c>
      <c r="G10" s="10" t="s">
        <v>52</v>
      </c>
    </row>
    <row r="11" customFormat="false" ht="15" hidden="false" customHeight="false" outlineLevel="0" collapsed="false">
      <c r="A11" s="10" t="s">
        <v>53</v>
      </c>
      <c r="B11" s="10" t="s">
        <v>54</v>
      </c>
      <c r="C11" s="10"/>
      <c r="D11" s="10" t="str">
        <f aca="false">IF(C11="","",IF(C11&gt;=80,"HOT",IF(C11&gt;=70,"Strong",IF(C11&gt;=60,"Consider","Low"))))</f>
        <v/>
      </c>
      <c r="E11" s="10" t="s">
        <v>12</v>
      </c>
      <c r="F11" s="10"/>
      <c r="G11" s="10"/>
    </row>
  </sheetData>
  <conditionalFormatting sqref="D2:D11">
    <cfRule type="cellIs" priority="2" operator="equal" aboveAverage="0" equalAverage="0" bottom="0" percent="0" rank="0" text="" dxfId="17">
      <formula>"HOT"</formula>
    </cfRule>
    <cfRule type="cellIs" priority="3" operator="equal" aboveAverage="0" equalAverage="0" bottom="0" percent="0" rank="0" text="" dxfId="18">
      <formula>"Strong"</formula>
    </cfRule>
    <cfRule type="cellIs" priority="4" operator="equal" aboveAverage="0" equalAverage="0" bottom="0" percent="0" rank="0" text="" dxfId="19">
      <formula>"Consider"</formula>
    </cfRule>
    <cfRule type="cellIs" priority="5" operator="equal" aboveAverage="0" equalAverage="0" bottom="0" percent="0" rank="0" text="" dxfId="20">
      <formula>"Low"</formula>
    </cfRule>
  </conditionalFormatting>
  <conditionalFormatting sqref="E2:E11">
    <cfRule type="cellIs" priority="6" operator="equal" aboveAverage="0" equalAverage="0" bottom="0" percent="0" rank="0" text="" dxfId="20">
      <formula>"Scouted"</formula>
    </cfRule>
    <cfRule type="cellIs" priority="7" operator="equal" aboveAverage="0" equalAverage="0" bottom="0" percent="0" rank="0" text="" dxfId="21">
      <formula>"CV Ready"</formula>
    </cfRule>
    <cfRule type="cellIs" priority="8" operator="equal" aboveAverage="0" equalAverage="0" bottom="0" percent="0" rank="0" text="" dxfId="18">
      <formula>"Applied"</formula>
    </cfRule>
    <cfRule type="cellIs" priority="9" operator="equal" aboveAverage="0" equalAverage="0" bottom="0" percent="0" rank="0" text="" dxfId="22">
      <formula>"Interviewing"</formula>
    </cfRule>
    <cfRule type="cellIs" priority="10" operator="equal" aboveAverage="0" equalAverage="0" bottom="0" percent="0" rank="0" text="" dxfId="23">
      <formula>"Offer"</formula>
    </cfRule>
    <cfRule type="cellIs" priority="11" operator="equal" aboveAverage="0" equalAverage="0" bottom="0" percent="0" rank="0" text="" dxfId="24">
      <formula>"Rejected"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2026-07-04T18:16:39Z</dcterms:created>
  <dc:creator>openpyxl</dc:creator>
  <dc:description/>
  <dc:language>en-US</dc:language>
  <cp:lastModifiedBy/>
  <dcterms:modified xsi:type="dcterms:W3CDTF">2026-07-04T22:16:45Z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